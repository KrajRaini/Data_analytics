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CODEBASIC_DATA_ANALYST\EXCEL\EXCEL FILES FROM CODEBASIC\"/>
    </mc:Choice>
  </mc:AlternateContent>
  <xr:revisionPtr revIDLastSave="0" documentId="13_ncr:1_{9A48BE5E-B4AB-4ADC-85BF-23EAC773504D}" xr6:coauthVersionLast="47" xr6:coauthVersionMax="47" xr10:uidLastSave="{00000000-0000-0000-0000-000000000000}"/>
  <bookViews>
    <workbookView xWindow="-120" yWindow="-120" windowWidth="29040" windowHeight="15720" xr2:uid="{FF5C21D4-D9B5-4CB7-A300-8EF59BBC2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I34" i="1"/>
  <c r="J34" i="1"/>
  <c r="K34" i="1"/>
  <c r="L34" i="1"/>
  <c r="M34" i="1"/>
  <c r="N34" i="1"/>
  <c r="B34" i="1"/>
  <c r="E32" i="1"/>
  <c r="D32" i="1"/>
  <c r="C32" i="1"/>
  <c r="B32" i="1"/>
  <c r="N30" i="1"/>
  <c r="N31" i="1"/>
  <c r="N29" i="1"/>
  <c r="N20" i="1"/>
  <c r="N32" i="1" s="1"/>
  <c r="N27" i="1"/>
  <c r="N26" i="1"/>
  <c r="N24" i="1"/>
  <c r="N21" i="1"/>
  <c r="N22" i="1"/>
  <c r="N23" i="1"/>
  <c r="N8" i="1"/>
  <c r="N12" i="1" s="1"/>
  <c r="N9" i="1"/>
  <c r="N10" i="1"/>
  <c r="N11" i="1"/>
  <c r="D12" i="1"/>
  <c r="E12" i="1"/>
  <c r="C12" i="1"/>
  <c r="B12" i="1"/>
</calcChain>
</file>

<file path=xl/sharedStrings.xml><?xml version="1.0" encoding="utf-8"?>
<sst xmlns="http://schemas.openxmlformats.org/spreadsheetml/2006/main" count="52" uniqueCount="37">
  <si>
    <t>Monthly Saving Target</t>
  </si>
  <si>
    <t>Income</t>
  </si>
  <si>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</si>
  <si>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</si>
  <si>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</si>
  <si>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</si>
  <si>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</si>
  <si>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</si>
  <si>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</si>
  <si>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</si>
  <si>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</si>
  <si>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</si>
  <si>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</si>
  <si>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</si>
  <si>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</si>
  <si>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</si>
  <si>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>Personal Income, Expense Tracker</t>
  </si>
  <si>
    <t>Expenses</t>
  </si>
  <si>
    <t>Salery</t>
  </si>
  <si>
    <t>Rental Income</t>
  </si>
  <si>
    <t>Devidend,stocks</t>
  </si>
  <si>
    <t>Freelancing</t>
  </si>
  <si>
    <t>Total</t>
  </si>
  <si>
    <t>Housing</t>
  </si>
  <si>
    <t>Mortage or Rent</t>
  </si>
  <si>
    <t>Phone</t>
  </si>
  <si>
    <t>Electricity</t>
  </si>
  <si>
    <t>Gas</t>
  </si>
  <si>
    <t>Other</t>
  </si>
  <si>
    <t>Food</t>
  </si>
  <si>
    <t>Groceries</t>
  </si>
  <si>
    <t>Dining Out</t>
  </si>
  <si>
    <t>Transportation</t>
  </si>
  <si>
    <t xml:space="preserve">Fuel </t>
  </si>
  <si>
    <t>Public Transport</t>
  </si>
  <si>
    <t>vehical maintance</t>
  </si>
  <si>
    <t>Total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</si>
</sst>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7" borderId="0" xfId="0" applyFill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6" fillId="8" borderId="7" xfId="0" applyFont="1" applyFill="1" applyBorder="1"/>
    <xf numFmtId="0" fontId="1" fillId="8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790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77F0FC-BF1A-434D-9DF6-2B312F0A0124}" name="Income" displayName="Income" ref="A7:N12" totalsRowCount="1" headerRowDxfId="3">
  <autoFilter ref="A7:N11" xr:uid="{4B77F0FC-BF1A-434D-9DF6-2B312F0A01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E42694-FED2-439E-8035-57FB9AB70E2F}" name="Item" totalsRowLabel="Total"/>
    <tableColumn id="2" xr3:uid="{0FB371B1-FA7C-45FD-B903-DCF40E57B95D}" name="Jan" totalsRowFunction="sum"/>
    <tableColumn id="3" xr3:uid="{094D5C32-5AB9-48ED-924A-D71E5015073B}" name="Feb" totalsRowFunction="sum"/>
    <tableColumn id="4" xr3:uid="{EA387145-6658-48A8-86A3-41F2F2D3D0A1}" name="Mar" totalsRowFunction="sum"/>
    <tableColumn id="5" xr3:uid="{67A26A86-D3F2-492F-A081-95974DCDCED6}" name="Apr" totalsRowFunction="sum"/>
    <tableColumn id="6" xr3:uid="{41560D76-2C27-4298-A5ED-4927801BF350}" name="May"/>
    <tableColumn id="7" xr3:uid="{08F61F05-00E1-4269-BD0E-A6FFBE7A1A30}" name="Jun"/>
    <tableColumn id="8" xr3:uid="{7165F0B2-ED48-4A2B-A1B6-4585179204CF}" name="Jul"/>
    <tableColumn id="9" xr3:uid="{CDDA6744-8B0A-4DD3-8065-040C9C575003}" name="Aug"/>
    <tableColumn id="10" xr3:uid="{938FAFAB-158C-4735-9066-8D645802C218}" name="Sep"/>
    <tableColumn id="11" xr3:uid="{78C76A4D-A12B-4306-BA5B-94CC6FA39DDE}" name="Oct"/>
    <tableColumn id="12" xr3:uid="{87792EB5-0254-4697-A554-870197F963CE}" name="Nov"/>
    <tableColumn id="13" xr3:uid="{94F06C7E-57DA-466B-956D-F9E3BB742430}" name="Dec"/>
    <tableColumn id="14" xr3:uid="{E7B677BB-3780-4E9E-BF08-38AA5E15DD0C}" name="Year to Date" totalsRowFunction="sum" dataDxfId="2">
      <calculatedColumnFormula>SUM(Income[[#This Row],[Jan]:[Dec]])</calculatedColumnFormula>
    </tableColumn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B0B36-E824-49FC-AD43-FB5A74996F4B}" name="Expenses" displayName="Expenses" ref="A18:N32" totalsRowCount="1" headerRowDxfId="1">
  <autoFilter ref="A18:N31" xr:uid="{A93B0B36-E824-49FC-AD43-FB5A74996F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B43303A-1216-4495-AC3F-C4CD14B2D571}" name="Item" totalsRowLabel="Total"/>
    <tableColumn id="2" xr3:uid="{94812D71-800B-4468-A51B-DA1E41FADB59}" name="Jan" totalsRowFunction="sum"/>
    <tableColumn id="3" xr3:uid="{8E5235F4-5A15-4899-8E50-6B42658DCF55}" name="Feb" totalsRowFunction="sum"/>
    <tableColumn id="4" xr3:uid="{3E0031C7-2528-4DB2-869B-D365865C8383}" name="Mar" totalsRowFunction="sum"/>
    <tableColumn id="5" xr3:uid="{55380C7F-86D9-48E1-AF87-F032063A9A15}" name="Apr" totalsRowFunction="sum"/>
    <tableColumn id="6" xr3:uid="{D1C0DC34-C8B4-40EF-815C-4B44DFFE6961}" name="May"/>
    <tableColumn id="7" xr3:uid="{6289875D-0492-4FB6-BD18-197CDA2B4AE2}" name="Jun"/>
    <tableColumn id="8" xr3:uid="{C31D60D7-ED95-4C8E-A6E1-D9B6EBE6B859}" name="Jul"/>
    <tableColumn id="9" xr3:uid="{B7233C4C-DAED-466A-A574-D05FC0CA9F27}" name="Aug"/>
    <tableColumn id="10" xr3:uid="{74677CA7-B188-487A-AF4B-4DCEAE059008}" name="Sep"/>
    <tableColumn id="11" xr3:uid="{A429ACAE-6048-49EA-990A-5C49E6C71536}" name="Oct"/>
    <tableColumn id="12" xr3:uid="{22ECCBF1-36D8-40BC-9BE4-306BA1D35282}" name="Nov"/>
    <tableColumn id="13" xr3:uid="{D8E2208A-0761-40D1-BCFF-9BFBA364013D}" name="Dec"/>
    <tableColumn id="14" xr3:uid="{A4588360-7596-4EB5-93A9-F330C193607A}" name="Year to Date" totalsRowFunction="sum">
      <calculatedColumnFormula>SUM(B19:M19)</calculatedColumnFormula>
    </tableColumn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0F7D-FDB1-419D-B61B-682D5DE5D6A5}">
  <dimension ref="A1:N34"/>
  <sheetViews>
    <sheetView showGridLines="0" tabSelected="1" zoomScale="118" workbookViewId="0">
      <selection activeCell="O16" sqref="O16"/>
    </sheetView>
  </sheetViews>
  <sheetFormatPr defaultRowHeight="15" x14ac:dyDescent="0.25"/>
  <cols>
    <col min="1" max="1" width="18.5703125" customWidth="1"/>
    <col min="14" max="14" width="15.28515625" customWidth="1"/>
  </cols>
  <sheetData>
    <row r="1" spans="1:14" x14ac:dyDescent="0.25">
      <c r="A1" s="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15.75" thickBot="1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4" spans="1:14" x14ac:dyDescent="0.25">
      <c r="A4" s="13" t="s">
        <v>0</v>
      </c>
      <c r="B4" s="13"/>
      <c r="C4" s="13"/>
      <c r="D4" s="11"/>
      <c r="E4" s="12">
        <v>40000</v>
      </c>
    </row>
    <row r="6" spans="1:14" ht="18.75" x14ac:dyDescent="0.2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5.75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  <c r="M7" s="1" t="s">
        <v>14</v>
      </c>
      <c r="N7" s="1" t="s">
        <v>15</v>
      </c>
    </row>
    <row r="8" spans="1:14" x14ac:dyDescent="0.25">
      <c r="A8" t="s">
        <v>18</v>
      </c>
      <c r="B8">
        <v>60000</v>
      </c>
      <c r="C8">
        <v>60000</v>
      </c>
      <c r="D8">
        <v>60000</v>
      </c>
      <c r="E8">
        <v>75000</v>
      </c>
      <c r="N8">
        <f>SUM(Income[[#This Row],[Jan]:[Dec]])</f>
        <v>255000</v>
      </c>
    </row>
    <row r="9" spans="1:14" x14ac:dyDescent="0.25">
      <c r="A9" t="s">
        <v>19</v>
      </c>
      <c r="B9">
        <v>14000</v>
      </c>
      <c r="C9">
        <v>14000</v>
      </c>
      <c r="D9">
        <v>0</v>
      </c>
      <c r="E9">
        <v>15000</v>
      </c>
      <c r="N9">
        <f>SUM(Income[[#This Row],[Jan]:[Dec]])</f>
        <v>43000</v>
      </c>
    </row>
    <row r="10" spans="1:14" x14ac:dyDescent="0.25">
      <c r="A10" t="s">
        <v>20</v>
      </c>
      <c r="B10">
        <v>2000</v>
      </c>
      <c r="C10">
        <v>600</v>
      </c>
      <c r="D10">
        <v>1400</v>
      </c>
      <c r="E10">
        <v>0</v>
      </c>
      <c r="N10">
        <f>SUM(Income[[#This Row],[Jan]:[Dec]])</f>
        <v>4000</v>
      </c>
    </row>
    <row r="11" spans="1:14" x14ac:dyDescent="0.25">
      <c r="A11" t="s">
        <v>21</v>
      </c>
      <c r="B11">
        <v>0</v>
      </c>
      <c r="C11">
        <v>0</v>
      </c>
      <c r="D11">
        <v>0</v>
      </c>
      <c r="E11">
        <v>0</v>
      </c>
      <c r="N11">
        <f>SUM(Income[[#This Row],[Jan]:[Dec]])</f>
        <v>0</v>
      </c>
    </row>
    <row r="12" spans="1:14" x14ac:dyDescent="0.25">
      <c r="A12" t="s">
        <v>22</v>
      </c>
      <c r="B12">
        <f>SUBTOTAL(109,Income[Jan])</f>
        <v>76000</v>
      </c>
      <c r="C12">
        <f>SUBTOTAL(109,Income[Feb])</f>
        <v>74600</v>
      </c>
      <c r="D12">
        <f>SUBTOTAL(109,Income[Mar])</f>
        <v>61400</v>
      </c>
      <c r="E12">
        <f>SUBTOTAL(109,Income[Apr])</f>
        <v>90000</v>
      </c>
      <c r="N12">
        <f>SUBTOTAL(109,Income[Year to Date])</f>
        <v>302000</v>
      </c>
    </row>
    <row r="17" spans="1:14" ht="18.75" x14ac:dyDescent="0.25">
      <c r="A17" s="10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.75" x14ac:dyDescent="0.25">
      <c r="A18" s="1" t="s">
        <v>2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10</v>
      </c>
      <c r="J18" s="1" t="s">
        <v>11</v>
      </c>
      <c r="K18" s="1" t="s">
        <v>12</v>
      </c>
      <c r="L18" s="1" t="s">
        <v>13</v>
      </c>
      <c r="M18" s="1" t="s">
        <v>14</v>
      </c>
      <c r="N18" s="1" t="s">
        <v>15</v>
      </c>
    </row>
    <row r="19" spans="1:14" x14ac:dyDescent="0.25">
      <c r="A19" s="2" t="s">
        <v>23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t="s">
        <v>24</v>
      </c>
      <c r="B20">
        <v>23000</v>
      </c>
      <c r="C20">
        <v>23000</v>
      </c>
      <c r="D20">
        <v>23000</v>
      </c>
      <c r="E20">
        <v>22500</v>
      </c>
      <c r="N20">
        <f>SUM(B20:M20)</f>
        <v>91500</v>
      </c>
    </row>
    <row r="21" spans="1:14" x14ac:dyDescent="0.25">
      <c r="A21" t="s">
        <v>25</v>
      </c>
      <c r="B21">
        <v>400</v>
      </c>
      <c r="C21">
        <v>400</v>
      </c>
      <c r="D21">
        <v>400</v>
      </c>
      <c r="E21">
        <v>400</v>
      </c>
      <c r="N21">
        <f t="shared" ref="N21:N23" si="0">SUM(B21:M21)</f>
        <v>1600</v>
      </c>
    </row>
    <row r="22" spans="1:14" x14ac:dyDescent="0.25">
      <c r="A22" t="s">
        <v>26</v>
      </c>
      <c r="B22">
        <v>1700</v>
      </c>
      <c r="C22">
        <v>1600</v>
      </c>
      <c r="D22">
        <v>2300</v>
      </c>
      <c r="E22">
        <v>2800</v>
      </c>
      <c r="N22">
        <f t="shared" si="0"/>
        <v>8400</v>
      </c>
    </row>
    <row r="23" spans="1:14" x14ac:dyDescent="0.25">
      <c r="A23" t="s">
        <v>27</v>
      </c>
      <c r="B23">
        <v>800</v>
      </c>
      <c r="C23">
        <v>950</v>
      </c>
      <c r="D23">
        <v>940</v>
      </c>
      <c r="E23">
        <v>1020</v>
      </c>
      <c r="N23">
        <f t="shared" si="0"/>
        <v>3710</v>
      </c>
    </row>
    <row r="24" spans="1:14" x14ac:dyDescent="0.25">
      <c r="A24" t="s">
        <v>28</v>
      </c>
      <c r="B24">
        <v>600</v>
      </c>
      <c r="C24">
        <v>230</v>
      </c>
      <c r="D24">
        <v>2350</v>
      </c>
      <c r="E24">
        <v>1540</v>
      </c>
      <c r="N24">
        <f>SUM(B24:M24)</f>
        <v>4720</v>
      </c>
    </row>
    <row r="25" spans="1:14" x14ac:dyDescent="0.25">
      <c r="A25" s="2" t="s">
        <v>29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t="s">
        <v>30</v>
      </c>
      <c r="B26">
        <v>200</v>
      </c>
      <c r="C26">
        <v>180</v>
      </c>
      <c r="D26">
        <v>160</v>
      </c>
      <c r="E26">
        <v>210</v>
      </c>
      <c r="N26">
        <f>SUM(B26:M26)</f>
        <v>750</v>
      </c>
    </row>
    <row r="27" spans="1:14" x14ac:dyDescent="0.25">
      <c r="A27" t="s">
        <v>31</v>
      </c>
      <c r="B27">
        <v>50</v>
      </c>
      <c r="C27">
        <v>45</v>
      </c>
      <c r="D27">
        <v>37</v>
      </c>
      <c r="E27">
        <v>0</v>
      </c>
      <c r="N27">
        <f>SUM(B27:M27)</f>
        <v>132</v>
      </c>
    </row>
    <row r="28" spans="1:14" x14ac:dyDescent="0.25">
      <c r="A28" s="2" t="s">
        <v>32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t="s">
        <v>33</v>
      </c>
      <c r="B29">
        <v>125</v>
      </c>
      <c r="C29">
        <v>100</v>
      </c>
      <c r="D29">
        <v>67</v>
      </c>
      <c r="E29">
        <v>140</v>
      </c>
      <c r="N29">
        <f>SUM(B29:M29)</f>
        <v>432</v>
      </c>
    </row>
    <row r="30" spans="1:14" x14ac:dyDescent="0.25">
      <c r="A30" t="s">
        <v>34</v>
      </c>
      <c r="B30">
        <v>10</v>
      </c>
      <c r="C30">
        <v>5</v>
      </c>
      <c r="D30">
        <v>9</v>
      </c>
      <c r="E30">
        <v>0</v>
      </c>
      <c r="N30">
        <f t="shared" ref="N30:N31" si="1">SUM(B30:M30)</f>
        <v>24</v>
      </c>
    </row>
    <row r="31" spans="1:14" x14ac:dyDescent="0.25">
      <c r="A31" t="s">
        <v>35</v>
      </c>
      <c r="B31">
        <v>20</v>
      </c>
      <c r="C31">
        <v>45</v>
      </c>
      <c r="D31">
        <v>67</v>
      </c>
      <c r="E31">
        <v>120</v>
      </c>
      <c r="N31">
        <f t="shared" si="1"/>
        <v>252</v>
      </c>
    </row>
    <row r="32" spans="1:14" x14ac:dyDescent="0.25">
      <c r="A32" t="s">
        <v>22</v>
      </c>
      <c r="B32">
        <f>SUBTOTAL(109,Expenses[Jan])</f>
        <v>26905</v>
      </c>
      <c r="C32">
        <f>SUBTOTAL(109,Expenses[Feb])</f>
        <v>26555</v>
      </c>
      <c r="D32">
        <f>SUBTOTAL(109,Expenses[Mar])</f>
        <v>29330</v>
      </c>
      <c r="E32">
        <f>SUBTOTAL(109,Expenses[Apr])</f>
        <v>28730</v>
      </c>
      <c r="N32">
        <f>SUBTOTAL(109,Expenses[Year to Date])</f>
        <v>111520</v>
      </c>
    </row>
    <row r="33" spans="1:14" ht="15.75" thickBot="1" x14ac:dyDescent="0.3"/>
    <row r="34" spans="1:14" ht="15.75" thickBot="1" x14ac:dyDescent="0.3">
      <c r="A34" s="14" t="s">
        <v>36</v>
      </c>
      <c r="B34" s="15">
        <f>Income[[#Totals],[Jan]]-Expenses[[#Totals],[Jan]]</f>
        <v>49095</v>
      </c>
      <c r="C34" s="15">
        <f>Income[[#Totals],[Feb]]-Expenses[[#Totals],[Feb]]</f>
        <v>48045</v>
      </c>
      <c r="D34" s="15">
        <f>Income[[#Totals],[Mar]]-Expenses[[#Totals],[Mar]]</f>
        <v>32070</v>
      </c>
      <c r="E34" s="15">
        <f>Income[[#Totals],[Apr]]-Expenses[[#Totals],[Apr]]</f>
        <v>61270</v>
      </c>
      <c r="F34" s="15">
        <f>Income[[#Totals],[May]]-Expenses[[#Totals],[May]]</f>
        <v>0</v>
      </c>
      <c r="G34" s="15">
        <f>Income[[#Totals],[Jun]]-Expenses[[#Totals],[Jun]]</f>
        <v>0</v>
      </c>
      <c r="H34" s="15">
        <f>Income[[#Totals],[Jul]]-Expenses[[#Totals],[Jul]]</f>
        <v>0</v>
      </c>
      <c r="I34" s="15">
        <f>Income[[#Totals],[Aug]]-Expenses[[#Totals],[Aug]]</f>
        <v>0</v>
      </c>
      <c r="J34" s="15">
        <f>Income[[#Totals],[Sep]]-Expenses[[#Totals],[Sep]]</f>
        <v>0</v>
      </c>
      <c r="K34" s="15">
        <f>Income[[#Totals],[Oct]]-Expenses[[#Totals],[Oct]]</f>
        <v>0</v>
      </c>
      <c r="L34" s="15">
        <f>Income[[#Totals],[Nov]]-Expenses[[#Totals],[Nov]]</f>
        <v>0</v>
      </c>
      <c r="M34" s="15">
        <f>Income[[#Totals],[Dec]]-Expenses[[#Totals],[Dec]]</f>
        <v>0</v>
      </c>
      <c r="N34" s="15">
        <f>Income[[#Totals],[Year to Date]]-Expenses[[#Totals],[Year to Date]]</f>
        <v>190480</v>
      </c>
    </row>
  </sheetData>
  <mergeCells count="4">
    <mergeCell ref="A1:N2"/>
    <mergeCell ref="A4:C4"/>
    <mergeCell ref="A6:N6"/>
    <mergeCell ref="A17:N17"/>
  </mergeCells>
  <phoneticPr fontId="3" type="noConversion"/>
  <conditionalFormatting sqref="B34:M34">
    <cfRule type="cellIs" dxfId="0" priority="1" operator="lessThan">
      <formula>40000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Krishnraj Raini</dc:creator>
  <cp:lastModifiedBy>Krishnraj Raini</cp:lastModifiedBy>
  <dcterms:created xsi:type="dcterms:W3CDTF">2025-12-24T17:54:26Z</dcterms:created>
  <dcterms:modified xsi:type="dcterms:W3CDTF">2025-12-27T10:47:19Z</dcterms:modified>
</cp:coreProperties>
</file>